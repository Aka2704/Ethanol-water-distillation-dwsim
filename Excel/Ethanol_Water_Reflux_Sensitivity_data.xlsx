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996168dd354229/Documents/Ethanol-Water-Distillation-DWSIM/Excel/"/>
    </mc:Choice>
  </mc:AlternateContent>
  <xr:revisionPtr revIDLastSave="30" documentId="8_{68FBEEDB-41BA-4EE4-B9FE-CA0ABC4FFA2F}" xr6:coauthVersionLast="47" xr6:coauthVersionMax="47" xr10:uidLastSave="{560474E1-7CF5-4DF4-BCF2-C0758E798666}"/>
  <bookViews>
    <workbookView xWindow="-108" yWindow="-108" windowWidth="23256" windowHeight="12456" xr2:uid="{1B32C579-773A-4D07-BCDE-5FD2A87886F2}"/>
  </bookViews>
  <sheets>
    <sheet name="Ethanol_Water_Reflux_Sensitiv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</calcChain>
</file>

<file path=xl/sharedStrings.xml><?xml version="1.0" encoding="utf-8"?>
<sst xmlns="http://schemas.openxmlformats.org/spreadsheetml/2006/main" count="18" uniqueCount="18">
  <si>
    <t>Reflux Ratio</t>
  </si>
  <si>
    <t>Distillate Flow (mol/s)</t>
  </si>
  <si>
    <t>Distillate Ethanol (mol%)</t>
  </si>
  <si>
    <t>Bottoms Flow (mol/s)</t>
  </si>
  <si>
    <t>Bottoms Ethanol (mol%)</t>
  </si>
  <si>
    <t>Condenser Duty (kW)</t>
  </si>
  <si>
    <t>Reboiler Duty (kW)</t>
  </si>
  <si>
    <t>Ethanol Recovery (%)</t>
  </si>
  <si>
    <t>Total Energy Duty</t>
  </si>
  <si>
    <t>Parameter</t>
  </si>
  <si>
    <t>Selected condition</t>
  </si>
  <si>
    <t>Selected reflux ratio</t>
  </si>
  <si>
    <t>Distillate ethanol purity</t>
  </si>
  <si>
    <t>81.53 mol%</t>
  </si>
  <si>
    <t>Ethanol recovery</t>
  </si>
  <si>
    <t>Total energy duty</t>
  </si>
  <si>
    <t>6917.91 kW</t>
  </si>
  <si>
    <t>Selected operating point: R = 2.5. This condition provides a practical balance between ethanol separation performance and energy consumption within the investigated reflux-ratio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</si>
</sst>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0" fontId="16" fillId="0" borderId="0" xfId="0" applyNumberFormat="1" applyFon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Effect</a:t>
            </a:r>
            <a:r>
              <a:rPr lang="en-IN" baseline="0"/>
              <a:t> of reflux ratio on ethanol recovery</a:t>
            </a:r>
            <a:endParaRPr lang="en-IN"/>
          </a:p>
        </c:rich>
      </c:tx>
      <c:layout>
        <c:manualLayout>
          <c:xMode val="edge"/>
          <c:yMode val="edge"/>
          <c:x val="0.16248980016111847"/>
          <c:y val="4.1666563333126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Ethanol_Water_Reflux_Sensitivit!$A$2:$A$6</c:f>
              <c:numCache>
                <c:formatCode>General</c:formatCode>
                <c:ptCount val="5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</c:numCache>
            </c:numRef>
          </c:xVal>
          <c:yVal>
            <c:numRef>
              <c:f>Ethanol_Water_Reflux_Sensitivit!$H$2:$H$6</c:f>
              <c:numCache>
                <c:formatCode>General</c:formatCode>
                <c:ptCount val="5"/>
                <c:pt idx="0">
                  <c:v>39.716291270911299</c:v>
                </c:pt>
                <c:pt idx="1">
                  <c:v>40.346017655629304</c:v>
                </c:pt>
                <c:pt idx="2">
                  <c:v>40.766763014212202</c:v>
                </c:pt>
                <c:pt idx="3">
                  <c:v>41.052578900668401</c:v>
                </c:pt>
                <c:pt idx="4">
                  <c:v>41.259515807639801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Ethanol_Water_Reflux_Sensitivit!#REF!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5E7-4BA3-9C66-D733E15D6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97184"/>
        <c:axId val="1811250831"/>
      </c:scatterChart>
      <c:valAx>
        <c:axId val="9749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Reflux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250831"/>
        <c:crosses val="autoZero"/>
        <c:crossBetween val="midCat"/>
      </c:valAx>
      <c:valAx>
        <c:axId val="18112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Ethanol</a:t>
                </a:r>
                <a:r>
                  <a:rPr lang="en-IN" baseline="0"/>
                  <a:t> Recovery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</a:t>
            </a:r>
            <a:r>
              <a:rPr lang="en-US" baseline="0"/>
              <a:t> of refleux ratio on total energy duty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Ethanol_Water_Reflux_Sensitivit!$A$2:$A$6</c:f>
              <c:numCache>
                <c:formatCode>General</c:formatCode>
                <c:ptCount val="5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</c:numCache>
            </c:numRef>
          </c:xVal>
          <c:yVal>
            <c:numRef>
              <c:f>Ethanol_Water_Reflux_Sensitivit!$I$2:$I$6</c:f>
              <c:numCache>
                <c:formatCode>General</c:formatCode>
                <c:ptCount val="5"/>
                <c:pt idx="0">
                  <c:v>4959.8634358026993</c:v>
                </c:pt>
                <c:pt idx="1">
                  <c:v>5938.6483112698998</c:v>
                </c:pt>
                <c:pt idx="2">
                  <c:v>6917.9101982626398</c:v>
                </c:pt>
                <c:pt idx="3">
                  <c:v>7897.6589315357596</c:v>
                </c:pt>
                <c:pt idx="4">
                  <c:v>8877.73498929175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Ethanol_Water_Reflux_Sensitivit!#REF!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46-414A-88CF-FFE6A2525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30303"/>
        <c:axId val="1811270991"/>
      </c:scatterChart>
      <c:valAx>
        <c:axId val="8383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Reflux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270991"/>
        <c:crosses val="autoZero"/>
        <c:crossBetween val="midCat"/>
      </c:valAx>
      <c:valAx>
        <c:axId val="18112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Energy Duty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</a:t>
            </a:r>
            <a:r>
              <a:rPr lang="en-US" baseline="0"/>
              <a:t> of reflux ratio on ditillate ethanol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Ethanol_Water_Reflux_Sensitivit!$A$2:$A$6</c:f>
              <c:numCache>
                <c:formatCode>General</c:formatCode>
                <c:ptCount val="5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</c:numCache>
            </c:numRef>
          </c:xVal>
          <c:yVal>
            <c:numRef>
              <c:f>Ethanol_Water_Reflux_Sensitivit!$C$2:$C$6</c:f>
              <c:numCache>
                <c:formatCode>General</c:formatCode>
                <c:ptCount val="5"/>
                <c:pt idx="0">
                  <c:v>79.432582542140395</c:v>
                </c:pt>
                <c:pt idx="1">
                  <c:v>80.692035311581407</c:v>
                </c:pt>
                <c:pt idx="2">
                  <c:v>81.5335260287506</c:v>
                </c:pt>
                <c:pt idx="3">
                  <c:v>82.1051578016653</c:v>
                </c:pt>
                <c:pt idx="4">
                  <c:v>82.519031615609606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Ethanol_Water_Reflux_Sensitivit!#REF!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CB3-48F7-AF49-0FA88FBA2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04272"/>
        <c:axId val="1811249871"/>
      </c:scatterChart>
      <c:valAx>
        <c:axId val="9570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Reflux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249871"/>
        <c:crosses val="autoZero"/>
        <c:crossBetween val="midCat"/>
      </c:valAx>
      <c:valAx>
        <c:axId val="18112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Distillate</a:t>
                </a:r>
                <a:r>
                  <a:rPr lang="en-IN" baseline="0"/>
                  <a:t> ethanol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119380</xdr:colOff>
      <xdr:row>6</xdr:row>
      <xdr:rowOff>135890</xdr:rowOff>
    </xdr:from>
    <xdr:to>
      <xdr:col>6</xdr:col>
      <xdr:colOff>1094740</xdr:colOff>
      <xdr:row>21</xdr:row>
      <xdr:rowOff>147320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9B701-8AAC-56E3-53F4-3156CB7F1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487680</xdr:colOff>
      <xdr:row>6</xdr:row>
      <xdr:rowOff>3810</xdr:rowOff>
    </xdr:from>
    <xdr:to>
      <xdr:col>3</xdr:col>
      <xdr:colOff>1257300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33B08-BD51-7ACA-64EB-FC6911DCB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1333500</xdr:colOff>
      <xdr:row>7</xdr:row>
      <xdr:rowOff>7620</xdr:rowOff>
    </xdr:from>
    <xdr:to>
      <xdr:col>12</xdr:col>
      <xdr:colOff>137160</xdr:colOff>
      <xdr:row>21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5F1DB8-1BAC-C09D-0289-DADEAAEB8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9FF43-3EDE-460C-A3F0-AE196555D97F}" name="Table1" displayName="Table1" ref="A1:I6" totalsRowShown="0">
  <autoFilter ref="A1:I6" xr:uid="{C009FF43-3EDE-460C-A3F0-AE196555D97F}"/>
  <tableColumns count="9">
    <tableColumn id="1" xr3:uid="{3DEC7C08-69AD-43A9-906F-C2BE6065F16F}" name="Reflux Ratio"/>
    <tableColumn id="2" xr3:uid="{4B61A998-DE1F-4911-B64F-FB9178CCA6CD}" name="Distillate Flow (mol/s)"/>
    <tableColumn id="3" xr3:uid="{7BDDBAE1-751B-4D4B-AEF6-9B9C86D3FF98}" name="Distillate Ethanol (mol%)"/>
    <tableColumn id="4" xr3:uid="{DC65F099-85A1-4E10-9A18-D73E44E506DA}" name="Bottoms Flow (mol/s)"/>
    <tableColumn id="5" xr3:uid="{1238381A-DDCD-4153-817B-FC017664B54D}" name="Bottoms Ethanol (mol%)"/>
    <tableColumn id="6" xr3:uid="{7414A1A6-F93D-464C-AFF3-3F56471D9D39}" name="Condenser Duty (kW)"/>
    <tableColumn id="7" xr3:uid="{4C7A3B5C-99B5-4E31-B587-9C15FB9F9F56}" name="Reboiler Duty (kW)"/>
    <tableColumn id="8" xr3:uid="{46126B9B-F6DE-4C91-8A09-514889FB9BA3}" name="Ethanol Recovery (%)"/>
    <tableColumn id="10" xr3:uid="{7F7E1CAC-FE56-4621-A996-F67A06826353}" name="Total Energy Duty">
      <calculatedColumnFormula>F2+G2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536C-6AD7-457F-BF8A-364CDB4BAC1B}">
  <dimension ref="A1:I31"/>
  <sheetViews>
    <sheetView tabSelected="1" topLeftCell="C1" zoomScale="117" workbookViewId="0">
      <selection activeCell="K28" sqref="K28"/>
    </sheetView>
  </sheetViews>
  <sheetFormatPr defaultRowHeight="14.4" x14ac:dyDescent="0.3"/>
  <cols>
    <col min="1" max="1" width="13.109375" customWidth="1"/>
    <col min="2" max="2" width="22.109375" customWidth="1"/>
    <col min="3" max="3" width="24.21875" customWidth="1"/>
    <col min="4" max="4" width="23.88671875" customWidth="1"/>
    <col min="5" max="5" width="26.6640625" customWidth="1"/>
    <col min="6" max="7" width="25.5546875" customWidth="1"/>
    <col min="8" max="8" width="26.44140625" customWidth="1"/>
    <col min="9" max="9" width="33.109375" customWidth="1"/>
    <col min="10" max="10" width="19.109375" customWidth="1"/>
    <col min="11" max="11" width="1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1.5</v>
      </c>
      <c r="B2">
        <v>24.999999999900002</v>
      </c>
      <c r="C2">
        <v>79.432582542140395</v>
      </c>
      <c r="D2">
        <v>75</v>
      </c>
      <c r="E2">
        <v>40.188617270768098</v>
      </c>
      <c r="F2">
        <v>2463.28201828891</v>
      </c>
      <c r="G2">
        <v>2496.5814175137898</v>
      </c>
      <c r="H2">
        <v>39.716291270911299</v>
      </c>
      <c r="I2">
        <f>F2+G2</f>
        <v>4959.8634358026993</v>
      </c>
    </row>
    <row r="3" spans="1:9" x14ac:dyDescent="0.3">
      <c r="A3">
        <v>2</v>
      </c>
      <c r="B3">
        <v>24.999999999900002</v>
      </c>
      <c r="C3">
        <v>80.692035311581407</v>
      </c>
      <c r="D3">
        <v>75</v>
      </c>
      <c r="E3">
        <v>39.7703263942403</v>
      </c>
      <c r="F3">
        <v>2952.8649017522198</v>
      </c>
      <c r="G3">
        <v>2985.78340951768</v>
      </c>
      <c r="H3">
        <v>40.346017655629304</v>
      </c>
      <c r="I3">
        <f t="shared" ref="I3:I6" si="0">F3+G3</f>
        <v>5938.6483112698998</v>
      </c>
    </row>
    <row r="4" spans="1:9" x14ac:dyDescent="0.3">
      <c r="A4">
        <v>2.5</v>
      </c>
      <c r="B4">
        <v>24.999999999900002</v>
      </c>
      <c r="C4">
        <v>81.5335260287506</v>
      </c>
      <c r="D4">
        <v>74.999999999999901</v>
      </c>
      <c r="E4">
        <v>39.487336578619903</v>
      </c>
      <c r="F4">
        <v>3442.6361367056102</v>
      </c>
      <c r="G4">
        <v>3475.2740615570301</v>
      </c>
      <c r="H4">
        <v>40.766763014212202</v>
      </c>
      <c r="I4">
        <f t="shared" si="0"/>
        <v>6917.9101982626398</v>
      </c>
    </row>
    <row r="5" spans="1:9" x14ac:dyDescent="0.3">
      <c r="A5">
        <v>3</v>
      </c>
      <c r="B5">
        <v>24.999999999899899</v>
      </c>
      <c r="C5">
        <v>82.1051578016653</v>
      </c>
      <c r="D5">
        <v>75</v>
      </c>
      <c r="E5">
        <v>39.294356513282601</v>
      </c>
      <c r="F5">
        <v>3932.60706733801</v>
      </c>
      <c r="G5">
        <v>3965.0518641977501</v>
      </c>
      <c r="H5">
        <v>41.052578900668401</v>
      </c>
      <c r="I5">
        <f t="shared" si="0"/>
        <v>7897.6589315357596</v>
      </c>
    </row>
    <row r="6" spans="1:9" x14ac:dyDescent="0.3">
      <c r="A6">
        <v>3.5</v>
      </c>
      <c r="B6">
        <v>24.999999999900002</v>
      </c>
      <c r="C6">
        <v>82.519031615609606</v>
      </c>
      <c r="D6">
        <v>75</v>
      </c>
      <c r="E6">
        <v>39.157862895484001</v>
      </c>
      <c r="F6">
        <v>4422.7086084086004</v>
      </c>
      <c r="G6">
        <v>4455.0263808831496</v>
      </c>
      <c r="H6">
        <v>41.259515807639801</v>
      </c>
      <c r="I6">
        <f t="shared" si="0"/>
        <v>8877.73498929175</v>
      </c>
    </row>
    <row r="24" spans="3:4" x14ac:dyDescent="0.3">
      <c r="C24" s="1" t="s">
        <v>9</v>
      </c>
      <c r="D24" s="2" t="s">
        <v>10</v>
      </c>
    </row>
    <row r="25" spans="3:4" x14ac:dyDescent="0.3">
      <c r="C25" s="4" t="s">
        <v>11</v>
      </c>
      <c r="D25" s="2">
        <v>2.5</v>
      </c>
    </row>
    <row r="26" spans="3:4" x14ac:dyDescent="0.3">
      <c r="C26" s="3" t="s">
        <v>12</v>
      </c>
      <c r="D26" s="2" t="s">
        <v>13</v>
      </c>
    </row>
    <row r="27" spans="3:4" x14ac:dyDescent="0.3">
      <c r="C27" s="3" t="s">
        <v>14</v>
      </c>
      <c r="D27" s="5">
        <v>0.40770000000000001</v>
      </c>
    </row>
    <row r="28" spans="3:4" x14ac:dyDescent="0.3">
      <c r="C28" s="3" t="s">
        <v>15</v>
      </c>
      <c r="D28" s="2" t="s">
        <v>16</v>
      </c>
    </row>
    <row r="31" spans="3:4" x14ac:dyDescent="0.3">
      <c r="C31" t="s">
        <v>17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Ethanol_Water_Reflux_Sensitivit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deep Bhadra</cp:lastModifiedBy>
  <dcterms:created xsi:type="dcterms:W3CDTF">2026-09-13T18:34:10Z</dcterms:created>
  <dcterms:modified xsi:type="dcterms:W3CDTF">2026-09-13T18:55:43Z</dcterms:modified>
</cp:coreProperties>
</file>